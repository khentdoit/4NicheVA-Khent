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vento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<sst xmlns="http://schemas.openxmlformats.org/spreadsheetml/2006/main" count="77" uniqueCount="66">
  <si>
    <t xml:space="preserve">Mock Inventory Tracker — Portfolio Sample</t>
  </si>
  <si>
    <t xml:space="preserve">Built to demonstrate a small-business stock control system with automatic reorder alerts.</t>
  </si>
  <si>
    <t xml:space="preserve">HOW THIS SHEET WORKS</t>
  </si>
  <si>
    <t xml:space="preserve">1. Go to the 'Inventory' tab. Each row is one SKU.</t>
  </si>
  <si>
    <t xml:space="preserve">2. Yellow cells are the only ones you edit: Qty On Hand, Reorder Threshold, Reorder Qty, Unit Cost, Supplier.</t>
  </si>
  <si>
    <t xml:space="preserve">3. 'Status' and 'Reorder Suggestion' columns are formulas — they update automatically. Do not type over them.</t>
  </si>
  <si>
    <t xml:space="preserve">4. Status colors: RED = reorder now (at or below threshold), YELLOW = low stock (within 50% buffer above threshold), GREEN = healthy stock.</t>
  </si>
  <si>
    <t xml:space="preserve">5. The 'Dashboard' tab automatically summarizes totals, low-stock counts, and inventory value — nothing to edit there.</t>
  </si>
  <si>
    <t xml:space="preserve">WHY THIS SAMPLE MATTERS</t>
  </si>
  <si>
    <t xml:space="preserve">Small sellers on Shopify/Etsy/Amazon FBA often track stock manually and miss reorder points, causing stockouts and lost sales.</t>
  </si>
  <si>
    <t xml:space="preserve">This tracker automates the flag so the owner knows exactly what to reorder and when — without checking every row by hand.</t>
  </si>
  <si>
    <t xml:space="preserve">SKU</t>
  </si>
  <si>
    <t xml:space="preserve">Product Name</t>
  </si>
  <si>
    <t xml:space="preserve">Category</t>
  </si>
  <si>
    <t xml:space="preserve">Supplier</t>
  </si>
  <si>
    <t xml:space="preserve">Qty On Hand</t>
  </si>
  <si>
    <t xml:space="preserve">Reorder Threshold</t>
  </si>
  <si>
    <t xml:space="preserve">Reorder Qty</t>
  </si>
  <si>
    <t xml:space="preserve">Unit Cost</t>
  </si>
  <si>
    <t xml:space="preserve">Inventory Value</t>
  </si>
  <si>
    <t xml:space="preserve">Status</t>
  </si>
  <si>
    <t xml:space="preserve">Reorder Suggestion</t>
  </si>
  <si>
    <t xml:space="preserve">Last Restocked</t>
  </si>
  <si>
    <t xml:space="preserve">SKU-1001</t>
  </si>
  <si>
    <t xml:space="preserve">Ceramic Pour-Over Dripper</t>
  </si>
  <si>
    <t xml:space="preserve">Kitchenware</t>
  </si>
  <si>
    <t xml:space="preserve">AuraBrew Co.</t>
  </si>
  <si>
    <t xml:space="preserve">2024-05-02</t>
  </si>
  <si>
    <t xml:space="preserve">SKU-1002</t>
  </si>
  <si>
    <t xml:space="preserve">Reusable Coffee Filter</t>
  </si>
  <si>
    <t xml:space="preserve">2024-04-18</t>
  </si>
  <si>
    <t xml:space="preserve">SKU-1003</t>
  </si>
  <si>
    <t xml:space="preserve">Bamboo Cutting Board</t>
  </si>
  <si>
    <t xml:space="preserve">GreenLeaf Supply</t>
  </si>
  <si>
    <t xml:space="preserve">2024-03-30</t>
  </si>
  <si>
    <t xml:space="preserve">SKU-1004</t>
  </si>
  <si>
    <t xml:space="preserve">Cotton Tote Bag</t>
  </si>
  <si>
    <t xml:space="preserve">Accessories</t>
  </si>
  <si>
    <t xml:space="preserve">Northline Textiles</t>
  </si>
  <si>
    <t xml:space="preserve">2024-05-10</t>
  </si>
  <si>
    <t xml:space="preserve">SKU-1005</t>
  </si>
  <si>
    <t xml:space="preserve">Stainless Steel Tumbler</t>
  </si>
  <si>
    <t xml:space="preserve">Drinkware</t>
  </si>
  <si>
    <t xml:space="preserve">2024-02-22</t>
  </si>
  <si>
    <t xml:space="preserve">SKU-1006</t>
  </si>
  <si>
    <t xml:space="preserve">Scented Soy Candle</t>
  </si>
  <si>
    <t xml:space="preserve">Home</t>
  </si>
  <si>
    <t xml:space="preserve">Willow &amp; Wick</t>
  </si>
  <si>
    <t xml:space="preserve">2024-05-14</t>
  </si>
  <si>
    <t xml:space="preserve">SKU-1007</t>
  </si>
  <si>
    <t xml:space="preserve">Linen Tea Towel Set</t>
  </si>
  <si>
    <t xml:space="preserve">2024-04-05</t>
  </si>
  <si>
    <t xml:space="preserve">SKU-1008</t>
  </si>
  <si>
    <t xml:space="preserve">Travel Mug</t>
  </si>
  <si>
    <t xml:space="preserve">2024-01-29</t>
  </si>
  <si>
    <t xml:space="preserve">Legend:</t>
  </si>
  <si>
    <t xml:space="preserve">Yellow cells = editable inputs</t>
  </si>
  <si>
    <t xml:space="preserve">Gray cells = automatic formulas, do not overwrite</t>
  </si>
  <si>
    <t xml:space="preserve">Inventory Dashboard</t>
  </si>
  <si>
    <t xml:space="preserve">Auto-calculated from the Inventory tab</t>
  </si>
  <si>
    <t xml:space="preserve">Total SKUs</t>
  </si>
  <si>
    <t xml:space="preserve">Items to Reorder Now</t>
  </si>
  <si>
    <t xml:space="preserve">Items Low Stock</t>
  </si>
  <si>
    <t xml:space="preserve">Items OK</t>
  </si>
  <si>
    <t xml:space="preserve">Total Inventory Value</t>
  </si>
  <si>
    <t xml:space="preserve">Items Needing Reorder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</si>
</sst>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2B2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CB"/>
        </patternFill>
      </fill>
    </dxf>
    <dxf>
      <fill>
        <patternFill>
          <bgColor rgb="FFFFF2B2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B2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8" hidden="false" customHeight="true" outlineLevel="0" collapsed="false">
      <c r="A3" s="3"/>
    </row>
    <row r="4" customFormat="false" ht="18" hidden="false" customHeight="true" outlineLevel="0" collapsed="false">
      <c r="A4" s="4" t="s">
        <v>2</v>
      </c>
    </row>
    <row r="5" customFormat="false" ht="18" hidden="false" customHeight="true" outlineLevel="0" collapsed="false">
      <c r="A5" s="3" t="s">
        <v>3</v>
      </c>
    </row>
    <row r="6" customFormat="false" ht="18" hidden="false" customHeight="true" outlineLevel="0" collapsed="false">
      <c r="A6" s="3" t="s">
        <v>4</v>
      </c>
    </row>
    <row r="7" customFormat="false" ht="18" hidden="false" customHeight="true" outlineLevel="0" collapsed="false">
      <c r="A7" s="3" t="s">
        <v>5</v>
      </c>
    </row>
    <row r="8" customFormat="false" ht="18" hidden="false" customHeight="true" outlineLevel="0" collapsed="false">
      <c r="A8" s="3" t="s">
        <v>6</v>
      </c>
    </row>
    <row r="9" customFormat="false" ht="18" hidden="false" customHeight="true" outlineLevel="0" collapsed="false">
      <c r="A9" s="3" t="s">
        <v>7</v>
      </c>
    </row>
    <row r="10" customFormat="false" ht="18" hidden="false" customHeight="true" outlineLevel="0" collapsed="false">
      <c r="A10" s="3"/>
    </row>
    <row r="11" customFormat="false" ht="18" hidden="false" customHeight="true" outlineLevel="0" collapsed="false">
      <c r="A11" s="4" t="s">
        <v>8</v>
      </c>
    </row>
    <row r="12" customFormat="false" ht="18" hidden="false" customHeight="true" outlineLevel="0" collapsed="false">
      <c r="A12" s="3" t="s">
        <v>9</v>
      </c>
    </row>
    <row r="13" customFormat="false" ht="18" hidden="false" customHeight="true" outlineLevel="0" collapsed="false">
      <c r="A13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</row>
    <row r="2" customFormat="false" ht="1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7" t="n">
        <v>42</v>
      </c>
      <c r="F2" s="7" t="n">
        <v>15</v>
      </c>
      <c r="G2" s="7" t="n">
        <v>30</v>
      </c>
      <c r="H2" s="8" t="n">
        <v>8.5</v>
      </c>
      <c r="I2" s="9" t="n">
        <f aca="false">E2*H2</f>
        <v>357</v>
      </c>
      <c r="J2" s="10" t="str">
        <f aca="false">IF(E2&lt;=F2,"Reorder Now",IF(E2&lt;=F2*1.5,"Low Stock","OK"))</f>
        <v>OK</v>
      </c>
      <c r="K2" s="10" t="str">
        <f aca="false">IF(E2&lt;=F2,G2,"")</f>
        <v/>
      </c>
      <c r="L2" s="11" t="s">
        <v>27</v>
      </c>
    </row>
    <row r="3" customFormat="false" ht="15" hidden="false" customHeight="false" outlineLevel="0" collapsed="false">
      <c r="A3" s="6" t="s">
        <v>28</v>
      </c>
      <c r="B3" s="6" t="s">
        <v>29</v>
      </c>
      <c r="C3" s="6" t="s">
        <v>25</v>
      </c>
      <c r="D3" s="6" t="s">
        <v>26</v>
      </c>
      <c r="E3" s="7" t="n">
        <v>12</v>
      </c>
      <c r="F3" s="7" t="n">
        <v>15</v>
      </c>
      <c r="G3" s="7" t="n">
        <v>40</v>
      </c>
      <c r="H3" s="8" t="n">
        <v>2.1</v>
      </c>
      <c r="I3" s="9" t="n">
        <f aca="false">E3*H3</f>
        <v>25.2</v>
      </c>
      <c r="J3" s="10" t="str">
        <f aca="false">IF(E3&lt;=F3,"Reorder Now",IF(E3&lt;=F3*1.5,"Low Stock","OK"))</f>
        <v>Reorder Now</v>
      </c>
      <c r="K3" s="10" t="n">
        <f aca="false">IF(E3&lt;=F3,G3,"")</f>
        <v>40</v>
      </c>
      <c r="L3" s="11" t="s">
        <v>30</v>
      </c>
    </row>
    <row r="4" customFormat="false" ht="15" hidden="false" customHeight="false" outlineLevel="0" collapsed="false">
      <c r="A4" s="6" t="s">
        <v>31</v>
      </c>
      <c r="B4" s="6" t="s">
        <v>32</v>
      </c>
      <c r="C4" s="6" t="s">
        <v>25</v>
      </c>
      <c r="D4" s="6" t="s">
        <v>33</v>
      </c>
      <c r="E4" s="7" t="n">
        <v>8</v>
      </c>
      <c r="F4" s="7" t="n">
        <v>10</v>
      </c>
      <c r="G4" s="7" t="n">
        <v>25</v>
      </c>
      <c r="H4" s="8" t="n">
        <v>6.75</v>
      </c>
      <c r="I4" s="9" t="n">
        <f aca="false">E4*H4</f>
        <v>54</v>
      </c>
      <c r="J4" s="10" t="str">
        <f aca="false">IF(E4&lt;=F4,"Reorder Now",IF(E4&lt;=F4*1.5,"Low Stock","OK"))</f>
        <v>Reorder Now</v>
      </c>
      <c r="K4" s="10" t="n">
        <f aca="false">IF(E4&lt;=F4,G4,"")</f>
        <v>25</v>
      </c>
      <c r="L4" s="11" t="s">
        <v>34</v>
      </c>
    </row>
    <row r="5" customFormat="false" ht="15" hidden="false" customHeight="false" outlineLevel="0" collapsed="false">
      <c r="A5" s="6" t="s">
        <v>35</v>
      </c>
      <c r="B5" s="6" t="s">
        <v>36</v>
      </c>
      <c r="C5" s="6" t="s">
        <v>37</v>
      </c>
      <c r="D5" s="6" t="s">
        <v>38</v>
      </c>
      <c r="E5" s="7" t="n">
        <v>120</v>
      </c>
      <c r="F5" s="7" t="n">
        <v>40</v>
      </c>
      <c r="G5" s="7" t="n">
        <v>60</v>
      </c>
      <c r="H5" s="8" t="n">
        <v>3.2</v>
      </c>
      <c r="I5" s="9" t="n">
        <f aca="false">E5*H5</f>
        <v>384</v>
      </c>
      <c r="J5" s="10" t="str">
        <f aca="false">IF(E5&lt;=F5,"Reorder Now",IF(E5&lt;=F5*1.5,"Low Stock","OK"))</f>
        <v>OK</v>
      </c>
      <c r="K5" s="10" t="str">
        <f aca="false">IF(E5&lt;=F5,G5,"")</f>
        <v/>
      </c>
      <c r="L5" s="11" t="s">
        <v>39</v>
      </c>
    </row>
    <row r="6" customFormat="false" ht="15" hidden="false" customHeight="false" outlineLevel="0" collapsed="false">
      <c r="A6" s="6" t="s">
        <v>40</v>
      </c>
      <c r="B6" s="6" t="s">
        <v>41</v>
      </c>
      <c r="C6" s="6" t="s">
        <v>42</v>
      </c>
      <c r="D6" s="6" t="s">
        <v>38</v>
      </c>
      <c r="E6" s="7" t="n">
        <v>5</v>
      </c>
      <c r="F6" s="7" t="n">
        <v>12</v>
      </c>
      <c r="G6" s="7" t="n">
        <v>30</v>
      </c>
      <c r="H6" s="8" t="n">
        <v>5.9</v>
      </c>
      <c r="I6" s="9" t="n">
        <f aca="false">E6*H6</f>
        <v>29.5</v>
      </c>
      <c r="J6" s="10" t="str">
        <f aca="false">IF(E6&lt;=F6,"Reorder Now",IF(E6&lt;=F6*1.5,"Low Stock","OK"))</f>
        <v>Reorder Now</v>
      </c>
      <c r="K6" s="10" t="n">
        <f aca="false">IF(E6&lt;=F6,G6,"")</f>
        <v>30</v>
      </c>
      <c r="L6" s="11" t="s">
        <v>43</v>
      </c>
    </row>
    <row r="7" customFormat="false" ht="15" hidden="false" customHeight="false" outlineLevel="0" collapsed="false">
      <c r="A7" s="6" t="s">
        <v>44</v>
      </c>
      <c r="B7" s="6" t="s">
        <v>45</v>
      </c>
      <c r="C7" s="6" t="s">
        <v>46</v>
      </c>
      <c r="D7" s="6" t="s">
        <v>47</v>
      </c>
      <c r="E7" s="7" t="n">
        <v>30</v>
      </c>
      <c r="F7" s="7" t="n">
        <v>20</v>
      </c>
      <c r="G7" s="7" t="n">
        <v>35</v>
      </c>
      <c r="H7" s="8" t="n">
        <v>4.4</v>
      </c>
      <c r="I7" s="9" t="n">
        <f aca="false">E7*H7</f>
        <v>132</v>
      </c>
      <c r="J7" s="10" t="str">
        <f aca="false">IF(E7&lt;=F7,"Reorder Now",IF(E7&lt;=F7*1.5,"Low Stock","OK"))</f>
        <v>Low Stock</v>
      </c>
      <c r="K7" s="10" t="str">
        <f aca="false">IF(E7&lt;=F7,G7,"")</f>
        <v/>
      </c>
      <c r="L7" s="11" t="s">
        <v>48</v>
      </c>
    </row>
    <row r="8" customFormat="false" ht="15" hidden="false" customHeight="false" outlineLevel="0" collapsed="false">
      <c r="A8" s="6" t="s">
        <v>49</v>
      </c>
      <c r="B8" s="6" t="s">
        <v>50</v>
      </c>
      <c r="C8" s="6" t="s">
        <v>25</v>
      </c>
      <c r="D8" s="6" t="s">
        <v>33</v>
      </c>
      <c r="E8" s="7" t="n">
        <v>18</v>
      </c>
      <c r="F8" s="7" t="n">
        <v>20</v>
      </c>
      <c r="G8" s="7" t="n">
        <v>30</v>
      </c>
      <c r="H8" s="8" t="n">
        <v>3.75</v>
      </c>
      <c r="I8" s="9" t="n">
        <f aca="false">E8*H8</f>
        <v>67.5</v>
      </c>
      <c r="J8" s="10" t="str">
        <f aca="false">IF(E8&lt;=F8,"Reorder Now",IF(E8&lt;=F8*1.5,"Low Stock","OK"))</f>
        <v>Reorder Now</v>
      </c>
      <c r="K8" s="10" t="n">
        <f aca="false">IF(E8&lt;=F8,G8,"")</f>
        <v>30</v>
      </c>
      <c r="L8" s="11" t="s">
        <v>51</v>
      </c>
    </row>
    <row r="9" customFormat="false" ht="15" hidden="false" customHeight="false" outlineLevel="0" collapsed="false">
      <c r="A9" s="6" t="s">
        <v>52</v>
      </c>
      <c r="B9" s="6" t="s">
        <v>53</v>
      </c>
      <c r="C9" s="6" t="s">
        <v>42</v>
      </c>
      <c r="D9" s="6" t="s">
        <v>26</v>
      </c>
      <c r="E9" s="7" t="n">
        <v>3</v>
      </c>
      <c r="F9" s="7" t="n">
        <v>10</v>
      </c>
      <c r="G9" s="7" t="n">
        <v>25</v>
      </c>
      <c r="H9" s="8" t="n">
        <v>6.2</v>
      </c>
      <c r="I9" s="9" t="n">
        <f aca="false">E9*H9</f>
        <v>18.6</v>
      </c>
      <c r="J9" s="10" t="str">
        <f aca="false">IF(E9&lt;=F9,"Reorder Now",IF(E9&lt;=F9*1.5,"Low Stock","OK"))</f>
        <v>Reorder Now</v>
      </c>
      <c r="K9" s="10" t="n">
        <f aca="false">IF(E9&lt;=F9,G9,"")</f>
        <v>25</v>
      </c>
      <c r="L9" s="11" t="s">
        <v>54</v>
      </c>
    </row>
    <row r="12" customFormat="false" ht="15" hidden="false" customHeight="false" outlineLevel="0" collapsed="false">
      <c r="A12" s="4" t="s">
        <v>55</v>
      </c>
    </row>
    <row r="13" customFormat="false" ht="15" hidden="false" customHeight="false" outlineLevel="0" collapsed="false">
      <c r="A13" s="2" t="s">
        <v>56</v>
      </c>
    </row>
    <row r="14" customFormat="false" ht="15" hidden="false" customHeight="false" outlineLevel="0" collapsed="false">
      <c r="A14" s="2" t="s">
        <v>57</v>
      </c>
    </row>
  </sheetData>
  <conditionalFormatting sqref="J2:J9">
    <cfRule type="expression" priority="2" aboveAverage="0" equalAverage="0" bottom="0" percent="0" rank="0" text="" dxfId="0">
      <formula>J2="Reorder Now"</formula>
    </cfRule>
    <cfRule type="expression" priority="3" aboveAverage="0" equalAverage="0" bottom="0" percent="0" rank="0" text="" dxfId="1">
      <formula>J2="Low Stock"</formula>
    </cfRule>
    <cfRule type="expression" priority="4" aboveAverage="0" equalAverage="0" bottom="0" percent="0" rank="0" text="" dxfId="2">
      <formula>J2="OK"</formula>
    </cfRule>
  </conditionalFormatting>
  <dataValidations count="1">
    <dataValidation allowBlank="true" errorStyle="stop" operator="between" showDropDown="false" showErrorMessage="false" showInputMessage="false" sqref="C2:C29" type="list">
      <formula1>"Kitchenware,Drinkware,Accessories,Home,Other"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A4" s="12" t="s">
        <v>60</v>
      </c>
      <c r="B4" s="6" t="n">
        <f aca="false">COUNTA(Inventory!A2:A9)</f>
        <v>8</v>
      </c>
    </row>
    <row r="5" customFormat="false" ht="15" hidden="false" customHeight="false" outlineLevel="0" collapsed="false">
      <c r="A5" s="12" t="s">
        <v>61</v>
      </c>
      <c r="B5" s="6" t="n">
        <f aca="false">COUNTIF(Inventory!J2:J9,"Reorder Now")</f>
        <v>5</v>
      </c>
    </row>
    <row r="6" customFormat="false" ht="15" hidden="false" customHeight="false" outlineLevel="0" collapsed="false">
      <c r="A6" s="12" t="s">
        <v>62</v>
      </c>
      <c r="B6" s="6" t="n">
        <f aca="false">COUNTIF(Inventory!J2:J9,"Low Stock")</f>
        <v>1</v>
      </c>
    </row>
    <row r="7" customFormat="false" ht="15" hidden="false" customHeight="false" outlineLevel="0" collapsed="false">
      <c r="A7" s="12" t="s">
        <v>63</v>
      </c>
      <c r="B7" s="6" t="n">
        <f aca="false">COUNTIF(Inventory!J2:J9,"OK")</f>
        <v>2</v>
      </c>
    </row>
    <row r="8" customFormat="false" ht="15" hidden="false" customHeight="false" outlineLevel="0" collapsed="false">
      <c r="A8" s="12" t="s">
        <v>64</v>
      </c>
      <c r="B8" s="13" t="n">
        <f aca="false">SUM(Inventory!I2:I9)</f>
        <v>1067.8</v>
      </c>
    </row>
    <row r="11" customFormat="false" ht="15" hidden="false" customHeight="false" outlineLevel="0" collapsed="false">
      <c r="A11" s="4" t="s">
        <v>65</v>
      </c>
    </row>
    <row r="12" customFormat="false" ht="15" hidden="false" customHeight="false" outlineLevel="0" collapsed="false">
      <c r="A12" s="14" t="s">
        <v>11</v>
      </c>
      <c r="B12" s="14" t="s">
        <v>12</v>
      </c>
      <c r="C12" s="14" t="s">
        <v>17</v>
      </c>
    </row>
    <row r="13" customFormat="false" ht="15" hidden="false" customHeight="false" outlineLevel="0" collapsed="false">
      <c r="A13" s="6" t="str">
        <f aca="false">IFERROR(IF(Inventory!J2="Reorder Now",Inventory!A2,""),"")</f>
        <v/>
      </c>
      <c r="B13" s="6" t="str">
        <f aca="false">IFERROR(IF(Inventory!J2="Reorder Now",Inventory!B2,""),"")</f>
        <v/>
      </c>
      <c r="C13" s="6" t="str">
        <f aca="false">IFERROR(IF(Inventory!J2="Reorder Now",Inventory!G2,""),"")</f>
        <v/>
      </c>
    </row>
    <row r="14" customFormat="false" ht="15" hidden="false" customHeight="false" outlineLevel="0" collapsed="false">
      <c r="A14" s="6" t="str">
        <f aca="false">IFERROR(IF(Inventory!J3="Reorder Now",Inventory!A3,""),"")</f>
        <v>SKU-1002</v>
      </c>
      <c r="B14" s="6" t="str">
        <f aca="false">IFERROR(IF(Inventory!J3="Reorder Now",Inventory!B3,""),"")</f>
        <v>Reusable Coffee Filter</v>
      </c>
      <c r="C14" s="6" t="n">
        <f aca="false">IFERROR(IF(Inventory!J3="Reorder Now",Inventory!G3,""),"")</f>
        <v>40</v>
      </c>
    </row>
    <row r="15" customFormat="false" ht="15" hidden="false" customHeight="false" outlineLevel="0" collapsed="false">
      <c r="A15" s="6" t="str">
        <f aca="false">IFERROR(IF(Inventory!J4="Reorder Now",Inventory!A4,""),"")</f>
        <v>SKU-1003</v>
      </c>
      <c r="B15" s="6" t="str">
        <f aca="false">IFERROR(IF(Inventory!J4="Reorder Now",Inventory!B4,""),"")</f>
        <v>Bamboo Cutting Board</v>
      </c>
      <c r="C15" s="6" t="n">
        <f aca="false">IFERROR(IF(Inventory!J4="Reorder Now",Inventory!G4,""),"")</f>
        <v>25</v>
      </c>
    </row>
    <row r="16" customFormat="false" ht="15" hidden="false" customHeight="false" outlineLevel="0" collapsed="false">
      <c r="A16" s="6" t="str">
        <f aca="false">IFERROR(IF(Inventory!J5="Reorder Now",Inventory!A5,""),"")</f>
        <v/>
      </c>
      <c r="B16" s="6" t="str">
        <f aca="false">IFERROR(IF(Inventory!J5="Reorder Now",Inventory!B5,""),"")</f>
        <v/>
      </c>
      <c r="C16" s="6" t="str">
        <f aca="false">IFERROR(IF(Inventory!J5="Reorder Now",Inventory!G5,""),"")</f>
        <v/>
      </c>
    </row>
    <row r="17" customFormat="false" ht="15" hidden="false" customHeight="false" outlineLevel="0" collapsed="false">
      <c r="A17" s="6" t="str">
        <f aca="false">IFERROR(IF(Inventory!J6="Reorder Now",Inventory!A6,""),"")</f>
        <v>SKU-1005</v>
      </c>
      <c r="B17" s="6" t="str">
        <f aca="false">IFERROR(IF(Inventory!J6="Reorder Now",Inventory!B6,""),"")</f>
        <v>Stainless Steel Tumbler</v>
      </c>
      <c r="C17" s="6" t="n">
        <f aca="false">IFERROR(IF(Inventory!J6="Reorder Now",Inventory!G6,""),"")</f>
        <v>30</v>
      </c>
    </row>
    <row r="18" customFormat="false" ht="15" hidden="false" customHeight="false" outlineLevel="0" collapsed="false">
      <c r="A18" s="6" t="str">
        <f aca="false">IFERROR(IF(Inventory!J7="Reorder Now",Inventory!A7,""),"")</f>
        <v/>
      </c>
      <c r="B18" s="6" t="str">
        <f aca="false">IFERROR(IF(Inventory!J7="Reorder Now",Inventory!B7,""),"")</f>
        <v/>
      </c>
      <c r="C18" s="6" t="str">
        <f aca="false">IFERROR(IF(Inventory!J7="Reorder Now",Inventory!G7,""),"")</f>
        <v/>
      </c>
    </row>
    <row r="19" customFormat="false" ht="15" hidden="false" customHeight="false" outlineLevel="0" collapsed="false">
      <c r="A19" s="6" t="str">
        <f aca="false">IFERROR(IF(Inventory!J8="Reorder Now",Inventory!A8,""),"")</f>
        <v>SKU-1007</v>
      </c>
      <c r="B19" s="6" t="str">
        <f aca="false">IFERROR(IF(Inventory!J8="Reorder Now",Inventory!B8,""),"")</f>
        <v>Linen Tea Towel Set</v>
      </c>
      <c r="C19" s="6" t="n">
        <f aca="false">IFERROR(IF(Inventory!J8="Reorder Now",Inventory!G8,""),"")</f>
        <v>30</v>
      </c>
    </row>
    <row r="20" customFormat="false" ht="15" hidden="false" customHeight="false" outlineLevel="0" collapsed="false">
      <c r="A20" s="6" t="str">
        <f aca="false">IFERROR(IF(Inventory!J9="Reorder Now",Inventory!A9,""),"")</f>
        <v>SKU-1008</v>
      </c>
      <c r="B20" s="6" t="str">
        <f aca="false">IFERROR(IF(Inventory!J9="Reorder Now",Inventory!B9,""),"")</f>
        <v>Travel Mug</v>
      </c>
      <c r="C20" s="6" t="n">
        <f aca="false">IFERROR(IF(Inventory!J9="Reorder Now",Inventory!G9,""),"")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2026-08-13T13:30:25Z</dcterms:created>
  <dc:creator>openpyxl</dc:creator>
  <dc:description/>
  <dc:language>en-US</dc:language>
  <cp:lastModifiedBy/>
  <dcterms:modified xsi:type="dcterms:W3CDTF">2026-08-13T13:30:25Z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